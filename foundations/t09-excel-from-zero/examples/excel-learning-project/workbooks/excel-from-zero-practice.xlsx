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4ebb239c740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Data" sheetId="1" r:id="R729d6c0f517c4df8"/>
    <x:sheet xmlns:r="http://schemas.openxmlformats.org/officeDocument/2006/relationships" name="Summary" sheetId="2" r:id="R063a2e6f9e9041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$#,##0.00"/>
    <x:numFmt numFmtId="202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67a6aff1714730" /><Relationship Type="http://schemas.openxmlformats.org/officeDocument/2006/relationships/theme" Target="/xl/theme/theme1.xml" Id="R87baa211925d4eba" /><Relationship Type="http://schemas.openxmlformats.org/officeDocument/2006/relationships/sharedStrings" Target="/xl/sharedStrings.xml" Id="R895f237917424895" /><Relationship Type="http://schemas.openxmlformats.org/officeDocument/2006/relationships/worksheet" Target="/xl/worksheets/sheet1.xml" Id="R729d6c0f517c4df8" /><Relationship Type="http://schemas.openxmlformats.org/officeDocument/2006/relationships/worksheet" Target="/xl/worksheets/sheet2.xml" Id="R063a2e6f9e9041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744534c50754183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Sales Total</c:v>
          </c:tx>
          <c:cat>
            <c:strRef>
              <c:f>'Sales Data'!$C$2:$C$9</c:f>
              <c:strCache>
                <c:ptCount val="0"/>
              </c:strCache>
            </c:strRef>
          </c:cat>
          <c:val>
            <c:numRef>
              <c:f>'Sales Data'!$G$2:$G$9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44534c5075418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Table" displayName="SalesTable" ref="A1:G9" headerRowCount="1" totalsRowCount="0" totalsRowShown="0">
  <x:tableColumns count="7">
    <x:tableColumn id="1" name="Date"/>
    <x:tableColumn id="2" name="Category"/>
    <x:tableColumn id="3" name="Item"/>
    <x:tableColumn id="4" name="Quantity"/>
    <x:tableColumn id="5" name="Unit Price"/>
    <x:tableColumn id="6" name="Region"/>
    <x:tableColumn id="7" name="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579d65841446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7abda29598e404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1" hidden="0" customWidth="1"/>
    <x:col min="5" max="5" width="12" hidden="0" customWidth="1"/>
    <x:col min="6" max="6" width="12" hidden="0" customWidth="1"/>
    <x:col min="7" max="7" width="13" hidden="0" customWidth="1"/>
  </x:cols>
  <x:sheetData>
    <x:row r="1">
      <x:c r="A1" s="10" t="str">
        <x:v>Date</x:v>
      </x:c>
      <x:c r="B1" s="10" t="str">
        <x:v>Category</x:v>
      </x:c>
      <x:c r="C1" s="10" t="str">
        <x:v>Item</x:v>
      </x:c>
      <x:c r="D1" s="10" t="str">
        <x:v>Quantity</x:v>
      </x:c>
      <x:c r="E1" s="10" t="str">
        <x:v>Unit Price</x:v>
      </x:c>
      <x:c r="F1" s="10" t="str">
        <x:v>Region</x:v>
      </x:c>
      <x:c r="G1" s="10" t="str">
        <x:v>Total</x:v>
      </x:c>
    </x:row>
    <x:row r="2">
      <x:c r="A2" s="11" t="str">
        <x:v>2026-08-01</x:v>
      </x:c>
      <x:c r="B2" s="11" t="str">
        <x:v>Hardware</x:v>
      </x:c>
      <x:c r="C2" s="11" t="str">
        <x:v>Keyboard</x:v>
      </x:c>
      <x:c r="D2" s="14" t="n">
        <x:v>3</x:v>
      </x:c>
      <x:c r="E2" s="16" t="n">
        <x:v>15</x:v>
      </x:c>
      <x:c r="F2" s="16" t="str">
        <x:v>Kuwait</x:v>
      </x:c>
      <x:c r="G2" s="16" t="n">
        <x:f>D2*E2</x:f>
        <x:v>45</x:v>
      </x:c>
    </x:row>
    <x:row r="3">
      <x:c r="A3" s="11" t="str">
        <x:v>2026-08-02</x:v>
      </x:c>
      <x:c r="B3" s="11" t="str">
        <x:v>Software</x:v>
      </x:c>
      <x:c r="C3" s="11" t="str">
        <x:v>License</x:v>
      </x:c>
      <x:c r="D3" s="14" t="n">
        <x:v>2</x:v>
      </x:c>
      <x:c r="E3" s="16" t="n">
        <x:v>45</x:v>
      </x:c>
      <x:c r="F3" s="16" t="str">
        <x:v>Dubai</x:v>
      </x:c>
      <x:c r="G3" s="16" t="n">
        <x:f>D3*E3</x:f>
        <x:v>90</x:v>
      </x:c>
    </x:row>
    <x:row r="4">
      <x:c r="A4" s="11" t="str">
        <x:v>2026-08-03</x:v>
      </x:c>
      <x:c r="B4" s="11" t="str">
        <x:v>Hardware</x:v>
      </x:c>
      <x:c r="C4" s="11" t="str">
        <x:v>Mouse</x:v>
      </x:c>
      <x:c r="D4" s="14" t="n">
        <x:v>5</x:v>
      </x:c>
      <x:c r="E4" s="16" t="n">
        <x:v>10</x:v>
      </x:c>
      <x:c r="F4" s="16" t="str">
        <x:v>Doha</x:v>
      </x:c>
      <x:c r="G4" s="16" t="n">
        <x:f>D4*E4</x:f>
        <x:v>50</x:v>
      </x:c>
    </x:row>
    <x:row r="5">
      <x:c r="A5" s="11" t="str">
        <x:v>2026-08-04</x:v>
      </x:c>
      <x:c r="B5" s="11" t="str">
        <x:v>Training</x:v>
      </x:c>
      <x:c r="C5" s="11" t="str">
        <x:v>Workshop</x:v>
      </x:c>
      <x:c r="D5" s="14" t="n">
        <x:v>4</x:v>
      </x:c>
      <x:c r="E5" s="16" t="n">
        <x:v>30</x:v>
      </x:c>
      <x:c r="F5" s="16" t="str">
        <x:v>Kuwait</x:v>
      </x:c>
      <x:c r="G5" s="16" t="n">
        <x:f>D5*E5</x:f>
        <x:v>120</x:v>
      </x:c>
    </x:row>
    <x:row r="6">
      <x:c r="A6" s="11" t="str">
        <x:v>2026-08-05</x:v>
      </x:c>
      <x:c r="B6" s="11" t="str">
        <x:v>Software</x:v>
      </x:c>
      <x:c r="C6" s="11" t="str">
        <x:v>Subscription</x:v>
      </x:c>
      <x:c r="D6" s="14" t="n">
        <x:v>3</x:v>
      </x:c>
      <x:c r="E6" s="16" t="n">
        <x:v>25</x:v>
      </x:c>
      <x:c r="F6" s="16" t="str">
        <x:v>Dubai</x:v>
      </x:c>
      <x:c r="G6" s="16" t="n">
        <x:f>D6*E6</x:f>
        <x:v>75</x:v>
      </x:c>
    </x:row>
    <x:row r="7">
      <x:c r="A7" s="11" t="str">
        <x:v>2026-08-06</x:v>
      </x:c>
      <x:c r="B7" s="11" t="str">
        <x:v>Hardware</x:v>
      </x:c>
      <x:c r="C7" s="11" t="str">
        <x:v>Monitor</x:v>
      </x:c>
      <x:c r="D7" s="14" t="n">
        <x:v>2</x:v>
      </x:c>
      <x:c r="E7" s="16" t="n">
        <x:v>120</x:v>
      </x:c>
      <x:c r="F7" s="16" t="str">
        <x:v>Doha</x:v>
      </x:c>
      <x:c r="G7" s="16" t="n">
        <x:f>D7*E7</x:f>
        <x:v>240</x:v>
      </x:c>
    </x:row>
    <x:row r="8">
      <x:c r="A8" s="11" t="str">
        <x:v>2026-08-07</x:v>
      </x:c>
      <x:c r="B8" s="11" t="str">
        <x:v>Training</x:v>
      </x:c>
      <x:c r="C8" s="11" t="str">
        <x:v>Course</x:v>
      </x:c>
      <x:c r="D8" s="14" t="n">
        <x:v>6</x:v>
      </x:c>
      <x:c r="E8" s="16" t="n">
        <x:v>20</x:v>
      </x:c>
      <x:c r="F8" s="16" t="str">
        <x:v>Kuwait</x:v>
      </x:c>
      <x:c r="G8" s="16" t="n">
        <x:f>D8*E8</x:f>
        <x:v>120</x:v>
      </x:c>
    </x:row>
    <x:row r="9">
      <x:c r="A9" s="11" t="str">
        <x:v>2026-08-08</x:v>
      </x:c>
      <x:c r="B9" s="11" t="str">
        <x:v>Software</x:v>
      </x:c>
      <x:c r="C9" s="11" t="str">
        <x:v>License</x:v>
      </x:c>
      <x:c r="D9" s="14" t="n">
        <x:v>1</x:v>
      </x:c>
      <x:c r="E9" s="16" t="n">
        <x:v>45</x:v>
      </x:c>
      <x:c r="F9" s="16" t="str">
        <x:v>Doha</x:v>
      </x:c>
      <x:c r="G9" s="16" t="n">
        <x:f>D9*E9</x:f>
        <x:v>45</x:v>
      </x:c>
    </x:row>
  </x:sheetData>
  <x:pageMargins left="0.7" right="0.7" top="0.75" bottom="0.75" header="0.3" footer="0.3"/>
  <x:tableParts count="1">
    <x:tablePart xmlns:r="http://schemas.openxmlformats.org/officeDocument/2006/relationships" r:id="Rd9579d658414462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4" max="4" width="16" hidden="0" customWidth="1"/>
    <x:col min="5" max="5" width="15" hidden="0" customWidth="1"/>
  </x:cols>
  <x:sheetData>
    <x:row r="1">
      <x:c r="A1" s="5" t="str">
        <x:v>Metric</x:v>
      </x:c>
      <x:c r="B1" s="5" t="str">
        <x:v>Value</x:v>
      </x:c>
      <x:c r="D1" s="5" t="str">
        <x:v>Item</x:v>
      </x:c>
      <x:c r="E1" s="5" t="str">
        <x:v>After Tax</x:v>
      </x:c>
    </x:row>
    <x:row r="2">
      <x:c r="A2" t="str">
        <x:v>Total Sales</x:v>
      </x:c>
      <x:c r="B2" s="18" t="n">
        <x:f>SUM('Sales Data'!G2:G9)</x:f>
        <x:v>785</x:v>
      </x:c>
      <x:c r="D2" t="str">
        <x:v>Keyboard</x:v>
      </x:c>
      <x:c r="E2" s="18" t="n">
        <x:f>'Sales Data'!G2*(1+$B$7)</x:f>
        <x:v>47.25</x:v>
      </x:c>
    </x:row>
    <x:row r="3">
      <x:c r="A3" t="str">
        <x:v>Average Sale</x:v>
      </x:c>
      <x:c r="B3" s="18" t="n">
        <x:f>AVERAGE('Sales Data'!G2:G9)</x:f>
        <x:v>98.125</x:v>
      </x:c>
      <x:c r="D3" t="str">
        <x:v>License</x:v>
      </x:c>
      <x:c r="E3" s="18" t="n">
        <x:f>'Sales Data'!G3*(1+$B$7)</x:f>
        <x:v>94.5</x:v>
      </x:c>
    </x:row>
    <x:row r="4">
      <x:c r="A4" t="str">
        <x:v>Largest Sale</x:v>
      </x:c>
      <x:c r="B4" s="18" t="n">
        <x:f>MAX('Sales Data'!G2:G9)</x:f>
        <x:v>240</x:v>
      </x:c>
      <x:c r="D4" t="str">
        <x:v>Mouse</x:v>
      </x:c>
      <x:c r="E4" s="18" t="n">
        <x:f>'Sales Data'!G4*(1+$B$7)</x:f>
        <x:v>52.5</x:v>
      </x:c>
    </x:row>
    <x:row r="5">
      <x:c r="A5" t="str">
        <x:v>Smallest Sale</x:v>
      </x:c>
      <x:c r="B5" s="18" t="n">
        <x:f>MIN('Sales Data'!G2:G9)</x:f>
        <x:v>45</x:v>
      </x:c>
      <x:c r="D5" t="str">
        <x:v>Workshop</x:v>
      </x:c>
      <x:c r="E5" s="18" t="n">
        <x:f>'Sales Data'!G5*(1+$B$7)</x:f>
        <x:v>126</x:v>
      </x:c>
    </x:row>
    <x:row r="6">
      <x:c r="A6" t="str">
        <x:v>Number of Sales</x:v>
      </x:c>
      <x:c r="B6" t="n">
        <x:f>COUNT('Sales Data'!G2:G9)</x:f>
        <x:v>8</x:v>
      </x:c>
      <x:c r="D6" t="str">
        <x:v>Subscription</x:v>
      </x:c>
      <x:c r="E6" s="18" t="n">
        <x:f>'Sales Data'!G6*(1+$B$7)</x:f>
        <x:v>78.75</x:v>
      </x:c>
    </x:row>
    <x:row r="7">
      <x:c r="A7" t="str">
        <x:v>Tax Rate</x:v>
      </x:c>
      <x:c r="B7" s="20" t="n">
        <x:v>0.05</x:v>
      </x:c>
      <x:c r="D7" t="str">
        <x:v>Monitor</x:v>
      </x:c>
      <x:c r="E7" s="18" t="n">
        <x:f>'Sales Data'!G7*(1+$B$7)</x:f>
        <x:v>252</x:v>
      </x:c>
    </x:row>
    <x:row r="8">
      <x:c r="D8" t="str">
        <x:v>Course</x:v>
      </x:c>
      <x:c r="E8" s="18" t="n">
        <x:f>'Sales Data'!G8*(1+$B$7)</x:f>
        <x:v>126</x:v>
      </x:c>
    </x:row>
    <x:row r="9">
      <x:c r="D9" t="str">
        <x:v>License</x:v>
      </x:c>
      <x:c r="E9" s="18" t="n">
        <x:f>'Sales Data'!G9*(1+$B$7)</x:f>
        <x:v>47.25</x:v>
      </x:c>
    </x:row>
  </x:sheetData>
  <x:pageMargins left="0.7" right="0.7" top="0.75" bottom="0.75" header="0.3" footer="0.3"/>
  <x:drawing xmlns:r="http://schemas.openxmlformats.org/officeDocument/2006/relationships" r:id="Rd7abda29598e4041"/>
</x:worksheet>
</file>